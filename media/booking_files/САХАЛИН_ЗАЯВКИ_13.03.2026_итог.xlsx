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9D14CB46-DCFC-4C9F-967B-D0DDADBC336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Лист1" sheetId="1" r:id="rId1"/>
    <sheet name="Лист1 (2)" sheetId="3" r:id="rId2"/>
  </sheets>
  <definedNames>
    <definedName name="_xlnm._FilterDatabase" localSheetId="0" hidden="1">Лист1!$H$1:$H$24</definedName>
    <definedName name="_xlnm._FilterDatabase" localSheetId="1" hidden="1">'Лист1 (2)'!$H$1:$H$7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3" l="1"/>
  <c r="I1" i="1"/>
</calcChain>
</file>

<file path=xl/sharedStrings.xml><?xml version="1.0" encoding="utf-8"?>
<sst xmlns="http://schemas.openxmlformats.org/spreadsheetml/2006/main" count="245" uniqueCount="119">
  <si>
    <t>Сведения о заявках на обучение по програме повышения квалификации "Управление развитием территорий на основе Национальной системы пространственных данных. Применение пространственных данных в градостроительстве и цифровизация градостроительной деятельности"  в рамках проекта "Школа НСПД"</t>
  </si>
  <si>
    <t>№ п/п</t>
  </si>
  <si>
    <t>ФИО</t>
  </si>
  <si>
    <t>Место работы</t>
  </si>
  <si>
    <t>Местонахождение</t>
  </si>
  <si>
    <t>Белецкий Евгений Геннадьевич</t>
  </si>
  <si>
    <t>Индивидуальный предприниматель</t>
  </si>
  <si>
    <t>Администрация муниципального образования Ногликский муниципальный округ Сахалинской области</t>
  </si>
  <si>
    <t>Глущенко Анастасия Сергеевна</t>
  </si>
  <si>
    <t>Администрация муниципального округа Эквикенот</t>
  </si>
  <si>
    <t>Жильцов Александр Владимирович</t>
  </si>
  <si>
    <t>АНО "РКЦ"ЦИФРОВОЙ РЕГИОН"</t>
  </si>
  <si>
    <t>Замиховский Евгений Владимирович</t>
  </si>
  <si>
    <t>АО "СахалинТИСИЗ"</t>
  </si>
  <si>
    <t>Иргит Дамырак Байыровна</t>
  </si>
  <si>
    <t>Администрация муниципального образования Чукотский муниципальный район</t>
  </si>
  <si>
    <t>Нетребина Юлия Сергеевна</t>
  </si>
  <si>
    <t>Воронежский государственный технический университет</t>
  </si>
  <si>
    <t>Рубцова Жанна Владимировна</t>
  </si>
  <si>
    <t>Сат Айлана Анатольевна</t>
  </si>
  <si>
    <t>Хахулина Надежда Борисовна</t>
  </si>
  <si>
    <t>Шайдуров Артем Алексеевич</t>
  </si>
  <si>
    <t>Шевцова Анастасия Александровна</t>
  </si>
  <si>
    <t>Шестаков Александр Александрович</t>
  </si>
  <si>
    <t>АО СахалинТИСИЗ</t>
  </si>
  <si>
    <t>Шумилкин Виктор Геннадьевич</t>
  </si>
  <si>
    <t>МКУ Управление делами г. Долинск</t>
  </si>
  <si>
    <t xml:space="preserve">Сахалинская область </t>
  </si>
  <si>
    <t xml:space="preserve">Камчатский край </t>
  </si>
  <si>
    <t>Сахалинская область</t>
  </si>
  <si>
    <t>Республика Тыва</t>
  </si>
  <si>
    <t>Статус заявки</t>
  </si>
  <si>
    <t>заявка подана</t>
  </si>
  <si>
    <t>Договор</t>
  </si>
  <si>
    <t>заключен</t>
  </si>
  <si>
    <t>Республика Хакасия</t>
  </si>
  <si>
    <t xml:space="preserve">Чукотский автономный округ </t>
  </si>
  <si>
    <t>Приморский край</t>
  </si>
  <si>
    <t xml:space="preserve"> заключен</t>
  </si>
  <si>
    <t>Тян Владислав Дмитриевич</t>
  </si>
  <si>
    <t>МКУ "Елизовское РУС"</t>
  </si>
  <si>
    <t>Райлян Анна Валентиновна</t>
  </si>
  <si>
    <t>Комитета по градостроительству и архитектуре Департамента строительства</t>
  </si>
  <si>
    <t>и жилищно-коммунального хозяйства Чукотского автономного округа</t>
  </si>
  <si>
    <t>г. Воронеж</t>
  </si>
  <si>
    <t xml:space="preserve">Почта </t>
  </si>
  <si>
    <t>Телефон</t>
  </si>
  <si>
    <t>8-914-744-76-19</t>
  </si>
  <si>
    <t>8-923-399-81-19</t>
  </si>
  <si>
    <t>8-914-413-34-67</t>
  </si>
  <si>
    <t>8-928-279-27-04</t>
  </si>
  <si>
    <t>8-924-785-27-35</t>
  </si>
  <si>
    <t>8-920-409-00-11</t>
  </si>
  <si>
    <t>8-914-086-71-78</t>
  </si>
  <si>
    <t>8-924-669-76-64</t>
  </si>
  <si>
    <t>8-952-102-09-50</t>
  </si>
  <si>
    <t>8-914-624-99-86</t>
  </si>
  <si>
    <t>8-914-746-23-39</t>
  </si>
  <si>
    <t>8-928-279-04-95</t>
  </si>
  <si>
    <t>8-900-666-71-22</t>
  </si>
  <si>
    <t>rusgorod04@bk.ru</t>
  </si>
  <si>
    <t>Nstomskih@list.ru</t>
  </si>
  <si>
    <t>egrevid@gmail.com</t>
  </si>
  <si>
    <t>gezam@sakhalintisiz.ru</t>
  </si>
  <si>
    <t>damyraak777@bk.ru</t>
  </si>
  <si>
    <t>juliya_net@mail.ru</t>
  </si>
  <si>
    <t>falaleeva-o-s@yandex.ru</t>
  </si>
  <si>
    <t>bayys-aylana@mail.ru</t>
  </si>
  <si>
    <t>Hahulina@mail.ru</t>
  </si>
  <si>
    <t>fffforssss@gmail.com</t>
  </si>
  <si>
    <t>nasty-inkova@mail.ru</t>
  </si>
  <si>
    <t>a.shestakov@sakhalintisiz.ru</t>
  </si>
  <si>
    <t>vgshumilkin@yandex.ru</t>
  </si>
  <si>
    <t>a.raylyan@depstroy.chukotka-gov.ru</t>
  </si>
  <si>
    <t>8 -911-299-62-26</t>
  </si>
  <si>
    <t>8-904-098-30-11</t>
  </si>
  <si>
    <t>tyan_is@mail.ru</t>
  </si>
  <si>
    <t>Богданова Ксения Игоревна</t>
  </si>
  <si>
    <t>Администрация Анивского муниципального округа</t>
  </si>
  <si>
    <t>8-924-181-50-83</t>
  </si>
  <si>
    <t>gradzemanv@sakhalin.gov.ru</t>
  </si>
  <si>
    <t>Жоголева Елена Викторовна</t>
  </si>
  <si>
    <t>ОГКУ "ЦУИЗ СО"</t>
  </si>
  <si>
    <t>8-962-120-37-40</t>
  </si>
  <si>
    <t>993740@mail.ru</t>
  </si>
  <si>
    <t>Лысенко Татьяна Васильевна</t>
  </si>
  <si>
    <t>8-924-285-32-73</t>
  </si>
  <si>
    <t>ebertin@yandex.ru    t.lysenko@sakhalin.gov.ru</t>
  </si>
  <si>
    <t>Поляничкина Людмила Сергеевна</t>
  </si>
  <si>
    <t>8 924 789 85 24</t>
  </si>
  <si>
    <t>L.POLIANICHKINA@GO-EGVEKINOT.RU</t>
  </si>
  <si>
    <t>Рыбаченко Алексей Николаевич</t>
  </si>
  <si>
    <t>Департамент архитектуры, градостроительной деятельности и землепользования администрации Анивского муниципального округа Сахалинской области</t>
  </si>
  <si>
    <t>8-924-284-09-59</t>
  </si>
  <si>
    <t>ryba79@yandex.ru</t>
  </si>
  <si>
    <t>Труш Евгений Юрьевич</t>
  </si>
  <si>
    <t>ИП Лопатина</t>
  </si>
  <si>
    <t>Труш Наталья Вячеславовна</t>
  </si>
  <si>
    <t>8-921-711-53-79</t>
  </si>
  <si>
    <t>trush_z@mail.ru</t>
  </si>
  <si>
    <t>8-914-087-70-34</t>
  </si>
  <si>
    <t>ermolaevan@bk.ru</t>
  </si>
  <si>
    <t>Республика Алтай</t>
  </si>
  <si>
    <t>Ранее подавшие заявки на обучение слушатели отказались от обучения: Гарматюк А.Н., Подгорбунцева О.В., Турбин Д., Шейкин А.С.</t>
  </si>
  <si>
    <t>Наличие паспорта: 1</t>
  </si>
  <si>
    <t>Наличие СНИЛС: 2</t>
  </si>
  <si>
    <t>Наличие диплома: 3</t>
  </si>
  <si>
    <t>1,2,3</t>
  </si>
  <si>
    <t>Документы</t>
  </si>
  <si>
    <t>1,2,3
нет прописки
нет приложения</t>
  </si>
  <si>
    <t>1,2,3
нет приложения</t>
  </si>
  <si>
    <t>Наличие согласия: 4</t>
  </si>
  <si>
    <t>1,2,3,4</t>
  </si>
  <si>
    <t>Личный листок: 5</t>
  </si>
  <si>
    <t>5(без подписи)</t>
  </si>
  <si>
    <t>4,5(без подписи)</t>
  </si>
  <si>
    <t>4,
5(без подписи)</t>
  </si>
  <si>
    <t>1,2,3,4
нет прописки
нет приложения</t>
  </si>
  <si>
    <t>1, 3, 4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</si>
</sst>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333333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0" fillId="2" borderId="0" xfId="0" applyFill="1"/>
    <xf numFmtId="0" fontId="5" fillId="2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/>
    </xf>
    <xf numFmtId="0" fontId="7" fillId="0" borderId="0" xfId="0" applyFont="1"/>
    <xf numFmtId="0" fontId="8" fillId="0" borderId="1" xfId="0" applyFont="1" applyBorder="1" applyAlignment="1">
      <alignment horizontal="left" vertical="center" wrapText="1"/>
    </xf>
    <xf numFmtId="14" fontId="0" fillId="0" borderId="0" xfId="0" applyNumberFormat="1" applyAlignment="1">
      <alignment horizontal="center" vertical="center"/>
    </xf>
    <xf numFmtId="0" fontId="9" fillId="0" borderId="1" xfId="2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3">
    <cellStyle name="Гиперссылка" xfId="2" builtinId="8"/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sty-inkova@mail.ru" TargetMode="External"/><Relationship Id="rId2" Type="http://schemas.openxmlformats.org/officeDocument/2006/relationships/hyperlink" Target="https://lkdpo.miigaik.ru/nspd/admin/document_form/customuser/120/change/" TargetMode="External"/><Relationship Id="rId1" Type="http://schemas.openxmlformats.org/officeDocument/2006/relationships/hyperlink" Target="https://lkdpo.miigaik.ru/nspd/admin/document_form/customuser/121/change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bayys-aylana@mail.ru" TargetMode="External"/><Relationship Id="rId4" Type="http://schemas.openxmlformats.org/officeDocument/2006/relationships/hyperlink" Target="mailto:a.raylyan@depstroy.chukotka-gov.r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bayys-aylana@mail.ru" TargetMode="External"/><Relationship Id="rId1" Type="http://schemas.openxmlformats.org/officeDocument/2006/relationships/hyperlink" Target="mailto:a.raylyan@depstroy.chukotka-gov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1"/>
  <sheetViews>
    <sheetView topLeftCell="A16" workbookViewId="0">
      <selection activeCell="C35" sqref="C35"/>
    </sheetView>
  </sheetViews>
  <sheetFormatPr defaultRowHeight="15" x14ac:dyDescent="0.25"/>
  <cols>
    <col min="1" max="1" width="7.42578125" customWidth="1"/>
    <col min="2" max="2" width="21.7109375" customWidth="1"/>
    <col min="3" max="3" width="32" customWidth="1"/>
    <col min="4" max="6" width="24.42578125" customWidth="1"/>
    <col min="7" max="7" width="18.85546875" customWidth="1"/>
    <col min="8" max="8" width="22.140625" style="10" customWidth="1"/>
    <col min="9" max="9" width="16.85546875" customWidth="1"/>
  </cols>
  <sheetData>
    <row r="1" spans="1:9" ht="59.25" customHeight="1" x14ac:dyDescent="0.25">
      <c r="A1" s="32" t="s">
        <v>0</v>
      </c>
      <c r="B1" s="33"/>
      <c r="C1" s="33"/>
      <c r="D1" s="33"/>
      <c r="E1" s="33"/>
      <c r="F1" s="33"/>
      <c r="G1" s="33"/>
      <c r="H1" s="34"/>
      <c r="I1" s="30">
        <f ca="1">TODAY()</f>
        <v>46156</v>
      </c>
    </row>
    <row r="2" spans="1:9" ht="15.75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46</v>
      </c>
      <c r="F2" s="6" t="s">
        <v>45</v>
      </c>
      <c r="G2" s="1" t="s">
        <v>31</v>
      </c>
      <c r="H2" s="11" t="s">
        <v>33</v>
      </c>
      <c r="I2" s="11" t="s">
        <v>108</v>
      </c>
    </row>
    <row r="3" spans="1:9" ht="31.5" x14ac:dyDescent="0.25">
      <c r="A3" s="7">
        <v>1</v>
      </c>
      <c r="B3" s="2" t="s">
        <v>5</v>
      </c>
      <c r="C3" s="2" t="s">
        <v>6</v>
      </c>
      <c r="D3" s="2" t="s">
        <v>102</v>
      </c>
      <c r="E3" s="2" t="s">
        <v>47</v>
      </c>
      <c r="F3" s="29" t="s">
        <v>60</v>
      </c>
      <c r="G3" s="3" t="s">
        <v>32</v>
      </c>
      <c r="H3" s="9" t="s">
        <v>38</v>
      </c>
      <c r="I3" s="9" t="s">
        <v>112</v>
      </c>
    </row>
    <row r="4" spans="1:9" s="17" customFormat="1" ht="31.5" x14ac:dyDescent="0.25">
      <c r="A4" s="7">
        <v>2</v>
      </c>
      <c r="B4" s="16" t="s">
        <v>77</v>
      </c>
      <c r="C4" s="16" t="s">
        <v>78</v>
      </c>
      <c r="D4" s="15" t="s">
        <v>27</v>
      </c>
      <c r="E4" s="16" t="s">
        <v>79</v>
      </c>
      <c r="F4" s="29" t="s">
        <v>80</v>
      </c>
      <c r="G4" s="3" t="s">
        <v>32</v>
      </c>
      <c r="H4" s="3" t="s">
        <v>38</v>
      </c>
      <c r="I4" s="9" t="s">
        <v>112</v>
      </c>
    </row>
    <row r="5" spans="1:9" ht="47.25" x14ac:dyDescent="0.25">
      <c r="A5" s="7">
        <v>3</v>
      </c>
      <c r="B5" s="2" t="s">
        <v>8</v>
      </c>
      <c r="C5" s="2" t="s">
        <v>9</v>
      </c>
      <c r="D5" s="2" t="s">
        <v>35</v>
      </c>
      <c r="E5" s="2" t="s">
        <v>48</v>
      </c>
      <c r="F5" s="29" t="s">
        <v>61</v>
      </c>
      <c r="G5" s="3" t="s">
        <v>32</v>
      </c>
      <c r="H5" s="9" t="s">
        <v>38</v>
      </c>
      <c r="I5" s="9" t="s">
        <v>115</v>
      </c>
    </row>
    <row r="6" spans="1:9" ht="63" x14ac:dyDescent="0.25">
      <c r="A6" s="7">
        <v>4</v>
      </c>
      <c r="B6" s="2" t="s">
        <v>10</v>
      </c>
      <c r="C6" s="2" t="s">
        <v>11</v>
      </c>
      <c r="D6" s="2" t="s">
        <v>37</v>
      </c>
      <c r="E6" s="2" t="s">
        <v>49</v>
      </c>
      <c r="F6" s="29" t="s">
        <v>62</v>
      </c>
      <c r="G6" s="3" t="s">
        <v>32</v>
      </c>
      <c r="H6" s="9" t="s">
        <v>38</v>
      </c>
      <c r="I6" s="9" t="s">
        <v>117</v>
      </c>
    </row>
    <row r="7" spans="1:9" s="17" customFormat="1" ht="47.25" x14ac:dyDescent="0.25">
      <c r="A7" s="7">
        <v>5</v>
      </c>
      <c r="B7" s="8" t="s">
        <v>81</v>
      </c>
      <c r="C7" s="18" t="s">
        <v>82</v>
      </c>
      <c r="D7" s="18" t="s">
        <v>27</v>
      </c>
      <c r="E7" s="18" t="s">
        <v>83</v>
      </c>
      <c r="F7" s="29" t="s">
        <v>84</v>
      </c>
      <c r="G7" s="3" t="s">
        <v>32</v>
      </c>
      <c r="H7" s="3" t="s">
        <v>38</v>
      </c>
      <c r="I7" s="9" t="s">
        <v>110</v>
      </c>
    </row>
    <row r="8" spans="1:9" ht="47.25" x14ac:dyDescent="0.25">
      <c r="A8" s="7">
        <v>6</v>
      </c>
      <c r="B8" s="2" t="s">
        <v>12</v>
      </c>
      <c r="C8" s="2" t="s">
        <v>13</v>
      </c>
      <c r="D8" s="2" t="s">
        <v>27</v>
      </c>
      <c r="E8" s="2" t="s">
        <v>50</v>
      </c>
      <c r="F8" s="29" t="s">
        <v>63</v>
      </c>
      <c r="G8" s="3" t="s">
        <v>32</v>
      </c>
      <c r="H8" s="9" t="s">
        <v>34</v>
      </c>
      <c r="I8" s="9" t="s">
        <v>110</v>
      </c>
    </row>
    <row r="9" spans="1:9" ht="63" x14ac:dyDescent="0.25">
      <c r="A9" s="7">
        <v>7</v>
      </c>
      <c r="B9" s="4" t="s">
        <v>14</v>
      </c>
      <c r="C9" s="4" t="s">
        <v>15</v>
      </c>
      <c r="D9" s="4" t="s">
        <v>30</v>
      </c>
      <c r="E9" s="7" t="s">
        <v>51</v>
      </c>
      <c r="F9" s="29" t="s">
        <v>64</v>
      </c>
      <c r="G9" s="3" t="s">
        <v>32</v>
      </c>
      <c r="H9" s="9" t="s">
        <v>38</v>
      </c>
      <c r="I9" s="9">
        <v>4.5</v>
      </c>
    </row>
    <row r="10" spans="1:9" s="17" customFormat="1" ht="63" x14ac:dyDescent="0.25">
      <c r="A10" s="7">
        <v>8</v>
      </c>
      <c r="B10" s="19" t="s">
        <v>85</v>
      </c>
      <c r="C10" s="19" t="s">
        <v>7</v>
      </c>
      <c r="D10" s="21" t="s">
        <v>27</v>
      </c>
      <c r="E10" s="20" t="s">
        <v>86</v>
      </c>
      <c r="F10" s="29" t="s">
        <v>87</v>
      </c>
      <c r="G10" s="3" t="s">
        <v>32</v>
      </c>
      <c r="H10" s="3" t="s">
        <v>38</v>
      </c>
      <c r="I10" s="9" t="s">
        <v>107</v>
      </c>
    </row>
    <row r="11" spans="1:9" ht="47.25" x14ac:dyDescent="0.25">
      <c r="A11" s="7">
        <v>9</v>
      </c>
      <c r="B11" s="2" t="s">
        <v>16</v>
      </c>
      <c r="C11" s="2" t="s">
        <v>17</v>
      </c>
      <c r="D11" s="2" t="s">
        <v>44</v>
      </c>
      <c r="E11" s="2" t="s">
        <v>52</v>
      </c>
      <c r="F11" s="29" t="s">
        <v>65</v>
      </c>
      <c r="G11" s="3" t="s">
        <v>32</v>
      </c>
      <c r="H11" s="9" t="s">
        <v>34</v>
      </c>
      <c r="I11" s="9" t="s">
        <v>115</v>
      </c>
    </row>
    <row r="12" spans="1:9" ht="47.25" x14ac:dyDescent="0.25">
      <c r="A12" s="7">
        <v>10</v>
      </c>
      <c r="B12" s="24" t="s">
        <v>88</v>
      </c>
      <c r="C12" s="22" t="s">
        <v>9</v>
      </c>
      <c r="D12" s="23" t="s">
        <v>36</v>
      </c>
      <c r="E12" s="22" t="s">
        <v>89</v>
      </c>
      <c r="F12" s="29" t="s">
        <v>90</v>
      </c>
      <c r="G12" s="3" t="s">
        <v>32</v>
      </c>
      <c r="H12" s="3" t="s">
        <v>34</v>
      </c>
      <c r="I12" s="9">
        <v>4</v>
      </c>
    </row>
    <row r="13" spans="1:9" ht="63" x14ac:dyDescent="0.25">
      <c r="A13" s="7">
        <v>11</v>
      </c>
      <c r="B13" s="2" t="s">
        <v>41</v>
      </c>
      <c r="C13" s="2" t="s">
        <v>42</v>
      </c>
      <c r="D13" s="4" t="s">
        <v>36</v>
      </c>
      <c r="E13" s="14" t="s">
        <v>74</v>
      </c>
      <c r="F13" s="31" t="s">
        <v>73</v>
      </c>
      <c r="G13" s="3" t="s">
        <v>32</v>
      </c>
      <c r="H13" s="9" t="s">
        <v>34</v>
      </c>
      <c r="I13" s="9" t="s">
        <v>107</v>
      </c>
    </row>
    <row r="14" spans="1:9" ht="63" x14ac:dyDescent="0.25">
      <c r="A14" s="7">
        <v>12</v>
      </c>
      <c r="B14" s="2" t="s">
        <v>18</v>
      </c>
      <c r="C14" s="2" t="s">
        <v>43</v>
      </c>
      <c r="D14" s="2" t="s">
        <v>27</v>
      </c>
      <c r="E14" s="2" t="s">
        <v>53</v>
      </c>
      <c r="F14" s="29" t="s">
        <v>66</v>
      </c>
      <c r="G14" s="3" t="s">
        <v>32</v>
      </c>
      <c r="H14" s="9" t="s">
        <v>34</v>
      </c>
      <c r="I14" s="9" t="s">
        <v>109</v>
      </c>
    </row>
    <row r="15" spans="1:9" s="17" customFormat="1" ht="110.25" x14ac:dyDescent="0.25">
      <c r="A15" s="7">
        <v>13</v>
      </c>
      <c r="B15" s="25" t="s">
        <v>91</v>
      </c>
      <c r="C15" s="25" t="s">
        <v>92</v>
      </c>
      <c r="D15" s="25" t="s">
        <v>29</v>
      </c>
      <c r="E15" s="25" t="s">
        <v>93</v>
      </c>
      <c r="F15" s="29" t="s">
        <v>94</v>
      </c>
      <c r="G15" s="3" t="s">
        <v>32</v>
      </c>
      <c r="H15" s="9" t="s">
        <v>34</v>
      </c>
      <c r="I15" s="9" t="s">
        <v>116</v>
      </c>
    </row>
    <row r="16" spans="1:9" ht="63" x14ac:dyDescent="0.25">
      <c r="A16" s="7">
        <v>14</v>
      </c>
      <c r="B16" s="25" t="s">
        <v>19</v>
      </c>
      <c r="C16" s="4" t="s">
        <v>15</v>
      </c>
      <c r="D16" s="4" t="s">
        <v>36</v>
      </c>
      <c r="E16" s="7" t="s">
        <v>54</v>
      </c>
      <c r="F16" s="31" t="s">
        <v>67</v>
      </c>
      <c r="G16" s="3" t="s">
        <v>32</v>
      </c>
      <c r="H16" s="9" t="s">
        <v>34</v>
      </c>
      <c r="I16" s="9" t="s">
        <v>114</v>
      </c>
    </row>
    <row r="17" spans="1:9" s="17" customFormat="1" ht="31.5" x14ac:dyDescent="0.25">
      <c r="A17" s="7">
        <v>15</v>
      </c>
      <c r="B17" s="26" t="s">
        <v>95</v>
      </c>
      <c r="C17" s="26" t="s">
        <v>96</v>
      </c>
      <c r="D17" s="26" t="s">
        <v>27</v>
      </c>
      <c r="E17" s="27" t="s">
        <v>98</v>
      </c>
      <c r="F17" s="29" t="s">
        <v>99</v>
      </c>
      <c r="G17" s="3" t="s">
        <v>32</v>
      </c>
      <c r="H17" s="3" t="s">
        <v>34</v>
      </c>
      <c r="I17" s="9" t="s">
        <v>107</v>
      </c>
    </row>
    <row r="18" spans="1:9" s="17" customFormat="1" ht="31.5" x14ac:dyDescent="0.25">
      <c r="A18" s="7">
        <v>16</v>
      </c>
      <c r="B18" s="26" t="s">
        <v>97</v>
      </c>
      <c r="C18" s="26" t="s">
        <v>78</v>
      </c>
      <c r="D18" s="26" t="s">
        <v>27</v>
      </c>
      <c r="E18" s="27" t="s">
        <v>100</v>
      </c>
      <c r="F18" s="29" t="s">
        <v>101</v>
      </c>
      <c r="G18" s="3" t="s">
        <v>32</v>
      </c>
      <c r="H18" s="3" t="s">
        <v>34</v>
      </c>
      <c r="I18" s="9" t="s">
        <v>112</v>
      </c>
    </row>
    <row r="19" spans="1:9" ht="40.5" customHeight="1" x14ac:dyDescent="0.25">
      <c r="A19" s="7">
        <v>17</v>
      </c>
      <c r="B19" s="4" t="s">
        <v>39</v>
      </c>
      <c r="C19" s="4" t="s">
        <v>40</v>
      </c>
      <c r="D19" s="4" t="s">
        <v>28</v>
      </c>
      <c r="E19" s="13" t="s">
        <v>75</v>
      </c>
      <c r="F19" s="29" t="s">
        <v>76</v>
      </c>
      <c r="G19" s="3" t="s">
        <v>32</v>
      </c>
      <c r="H19" s="12" t="s">
        <v>34</v>
      </c>
      <c r="I19" s="9" t="s">
        <v>115</v>
      </c>
    </row>
    <row r="20" spans="1:9" ht="47.25" x14ac:dyDescent="0.25">
      <c r="A20" s="7">
        <v>18</v>
      </c>
      <c r="B20" s="2" t="s">
        <v>20</v>
      </c>
      <c r="C20" s="2" t="s">
        <v>17</v>
      </c>
      <c r="D20" s="2" t="s">
        <v>44</v>
      </c>
      <c r="E20" s="2" t="s">
        <v>55</v>
      </c>
      <c r="F20" s="29" t="s">
        <v>68</v>
      </c>
      <c r="G20" s="3" t="s">
        <v>32</v>
      </c>
      <c r="H20" s="9" t="s">
        <v>34</v>
      </c>
      <c r="I20" s="9" t="s">
        <v>115</v>
      </c>
    </row>
    <row r="21" spans="1:9" ht="31.5" x14ac:dyDescent="0.25">
      <c r="A21" s="7">
        <v>19</v>
      </c>
      <c r="B21" s="4" t="s">
        <v>21</v>
      </c>
      <c r="C21" s="4" t="s">
        <v>40</v>
      </c>
      <c r="D21" s="4" t="s">
        <v>28</v>
      </c>
      <c r="E21" s="7" t="s">
        <v>56</v>
      </c>
      <c r="F21" s="29" t="s">
        <v>69</v>
      </c>
      <c r="G21" s="3" t="s">
        <v>32</v>
      </c>
      <c r="H21" s="9" t="s">
        <v>34</v>
      </c>
      <c r="I21" s="9" t="s">
        <v>116</v>
      </c>
    </row>
    <row r="22" spans="1:9" ht="63" x14ac:dyDescent="0.25">
      <c r="A22" s="7">
        <v>20</v>
      </c>
      <c r="B22" s="4" t="s">
        <v>22</v>
      </c>
      <c r="C22" s="4" t="s">
        <v>7</v>
      </c>
      <c r="D22" s="4" t="s">
        <v>27</v>
      </c>
      <c r="E22" s="7" t="s">
        <v>57</v>
      </c>
      <c r="F22" s="31" t="s">
        <v>70</v>
      </c>
      <c r="G22" s="3" t="s">
        <v>32</v>
      </c>
      <c r="H22" s="9" t="s">
        <v>34</v>
      </c>
      <c r="I22" s="9" t="s">
        <v>107</v>
      </c>
    </row>
    <row r="23" spans="1:9" ht="31.5" x14ac:dyDescent="0.25">
      <c r="A23" s="7">
        <v>21</v>
      </c>
      <c r="B23" s="5" t="s">
        <v>23</v>
      </c>
      <c r="C23" s="7" t="s">
        <v>24</v>
      </c>
      <c r="D23" s="4" t="s">
        <v>29</v>
      </c>
      <c r="E23" s="7" t="s">
        <v>58</v>
      </c>
      <c r="F23" s="29" t="s">
        <v>71</v>
      </c>
      <c r="G23" s="3" t="s">
        <v>32</v>
      </c>
      <c r="H23" s="12" t="s">
        <v>34</v>
      </c>
      <c r="I23" s="9" t="s">
        <v>112</v>
      </c>
    </row>
    <row r="24" spans="1:9" ht="31.5" x14ac:dyDescent="0.25">
      <c r="A24" s="7">
        <v>22</v>
      </c>
      <c r="B24" s="4" t="s">
        <v>25</v>
      </c>
      <c r="C24" s="4" t="s">
        <v>26</v>
      </c>
      <c r="D24" s="4" t="s">
        <v>27</v>
      </c>
      <c r="E24" s="7" t="s">
        <v>59</v>
      </c>
      <c r="F24" s="29" t="s">
        <v>72</v>
      </c>
      <c r="G24" s="3" t="s">
        <v>32</v>
      </c>
      <c r="H24" s="12" t="s">
        <v>34</v>
      </c>
      <c r="I24" s="9" t="s">
        <v>115</v>
      </c>
    </row>
    <row r="26" spans="1:9" x14ac:dyDescent="0.25">
      <c r="B26" s="28" t="s">
        <v>103</v>
      </c>
    </row>
    <row r="27" spans="1:9" x14ac:dyDescent="0.25">
      <c r="B27" s="28" t="s">
        <v>104</v>
      </c>
    </row>
    <row r="28" spans="1:9" x14ac:dyDescent="0.25">
      <c r="B28" s="28" t="s">
        <v>105</v>
      </c>
    </row>
    <row r="29" spans="1:9" x14ac:dyDescent="0.25">
      <c r="B29" s="28" t="s">
        <v>106</v>
      </c>
    </row>
    <row r="30" spans="1:9" x14ac:dyDescent="0.25">
      <c r="B30" s="28" t="s">
        <v>111</v>
      </c>
    </row>
    <row r="31" spans="1:9" x14ac:dyDescent="0.25">
      <c r="B31" s="28" t="s">
        <v>113</v>
      </c>
    </row>
  </sheetData>
  <autoFilter ref="H1:H24" xr:uid="{00000000-0009-0000-0000-000000000000}"/>
  <mergeCells count="1">
    <mergeCell ref="A1:H1"/>
  </mergeCells>
  <hyperlinks>
    <hyperlink ref="F11" r:id="rId1" display="https://lkdpo.miigaik.ru/nspd/admin/document_form/customuser/121/change/" xr:uid="{00000000-0004-0000-0000-000000000000}"/>
    <hyperlink ref="F20" r:id="rId2" display="https://lkdpo.miigaik.ru/nspd/admin/document_form/customuser/120/change/" xr:uid="{00000000-0004-0000-0000-000001000000}"/>
    <hyperlink ref="F22" r:id="rId3" xr:uid="{2A246975-C980-450F-8333-AE15C05C3896}"/>
    <hyperlink ref="F13" r:id="rId4" xr:uid="{FC37B787-CB98-49FE-9389-5E6AFE79984E}"/>
    <hyperlink ref="F16" r:id="rId5" xr:uid="{32689E62-A413-4A90-9BF9-2CC2F442BD6F}"/>
  </hyperlinks>
  <pageMargins left="0.25" right="0.25" top="0.75" bottom="0.75" header="0.3" footer="0.3"/>
  <pageSetup paperSize="9" scale="52" fitToHeight="0" orientation="portrait" horizontalDpi="300" verticalDpi="3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168F-1D68-4127-965B-9D814B022121}">
  <sheetPr>
    <pageSetUpPr fitToPage="1"/>
  </sheetPr>
  <dimension ref="A1:I14"/>
  <sheetViews>
    <sheetView tabSelected="1" workbookViewId="0">
      <selection activeCell="K9" sqref="K9"/>
    </sheetView>
  </sheetViews>
  <sheetFormatPr defaultRowHeight="15" x14ac:dyDescent="0.25"/>
  <cols>
    <col min="1" max="1" width="7.42578125" customWidth="1"/>
    <col min="2" max="2" width="21.7109375" customWidth="1"/>
    <col min="3" max="3" width="32" customWidth="1"/>
    <col min="4" max="6" width="24.42578125" customWidth="1"/>
    <col min="7" max="7" width="18.85546875" customWidth="1"/>
    <col min="8" max="8" width="22.140625" style="10" customWidth="1"/>
    <col min="9" max="9" width="16.85546875" customWidth="1"/>
  </cols>
  <sheetData>
    <row r="1" spans="1:9" ht="59.25" customHeight="1" x14ac:dyDescent="0.25">
      <c r="A1" s="32" t="s">
        <v>0</v>
      </c>
      <c r="B1" s="33"/>
      <c r="C1" s="33"/>
      <c r="D1" s="33"/>
      <c r="E1" s="33"/>
      <c r="F1" s="33"/>
      <c r="G1" s="33"/>
      <c r="H1" s="34"/>
      <c r="I1" s="30">
        <f ca="1">TODAY()</f>
        <v>46156</v>
      </c>
    </row>
    <row r="2" spans="1:9" ht="15.75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46</v>
      </c>
      <c r="F2" s="6" t="s">
        <v>45</v>
      </c>
      <c r="G2" s="1" t="s">
        <v>31</v>
      </c>
      <c r="H2" s="11" t="s">
        <v>33</v>
      </c>
      <c r="I2" s="11" t="s">
        <v>108</v>
      </c>
    </row>
    <row r="3" spans="1:9" ht="63" x14ac:dyDescent="0.25">
      <c r="A3" s="7">
        <v>7</v>
      </c>
      <c r="B3" s="4" t="s">
        <v>14</v>
      </c>
      <c r="C3" s="4" t="s">
        <v>15</v>
      </c>
      <c r="D3" s="4" t="s">
        <v>30</v>
      </c>
      <c r="E3" s="7" t="s">
        <v>51</v>
      </c>
      <c r="F3" s="29" t="s">
        <v>64</v>
      </c>
      <c r="G3" s="3" t="s">
        <v>32</v>
      </c>
      <c r="H3" s="9" t="s">
        <v>38</v>
      </c>
      <c r="I3" s="9">
        <v>4.5</v>
      </c>
    </row>
    <row r="4" spans="1:9" ht="47.25" x14ac:dyDescent="0.25">
      <c r="A4" s="7">
        <v>10</v>
      </c>
      <c r="B4" s="25" t="s">
        <v>88</v>
      </c>
      <c r="C4" s="22" t="s">
        <v>9</v>
      </c>
      <c r="D4" s="26" t="s">
        <v>36</v>
      </c>
      <c r="E4" s="22" t="s">
        <v>89</v>
      </c>
      <c r="F4" s="29" t="s">
        <v>90</v>
      </c>
      <c r="G4" s="3" t="s">
        <v>32</v>
      </c>
      <c r="H4" s="3" t="s">
        <v>34</v>
      </c>
      <c r="I4" s="9" t="s">
        <v>118</v>
      </c>
    </row>
    <row r="5" spans="1:9" ht="63" x14ac:dyDescent="0.25">
      <c r="A5" s="7">
        <v>11</v>
      </c>
      <c r="B5" s="2" t="s">
        <v>41</v>
      </c>
      <c r="C5" s="2" t="s">
        <v>42</v>
      </c>
      <c r="D5" s="4" t="s">
        <v>36</v>
      </c>
      <c r="E5" s="14" t="s">
        <v>74</v>
      </c>
      <c r="F5" s="31" t="s">
        <v>73</v>
      </c>
      <c r="G5" s="3" t="s">
        <v>32</v>
      </c>
      <c r="H5" s="9" t="s">
        <v>34</v>
      </c>
      <c r="I5" s="9" t="s">
        <v>107</v>
      </c>
    </row>
    <row r="6" spans="1:9" ht="63" x14ac:dyDescent="0.25">
      <c r="A6" s="7">
        <v>14</v>
      </c>
      <c r="B6" s="25" t="s">
        <v>19</v>
      </c>
      <c r="C6" s="4" t="s">
        <v>15</v>
      </c>
      <c r="D6" s="4" t="s">
        <v>36</v>
      </c>
      <c r="E6" s="7" t="s">
        <v>54</v>
      </c>
      <c r="F6" s="31" t="s">
        <v>67</v>
      </c>
      <c r="G6" s="3" t="s">
        <v>32</v>
      </c>
      <c r="H6" s="9" t="s">
        <v>34</v>
      </c>
      <c r="I6" s="9" t="s">
        <v>114</v>
      </c>
    </row>
    <row r="7" spans="1:9" ht="31.5" x14ac:dyDescent="0.25">
      <c r="A7" s="7">
        <v>22</v>
      </c>
      <c r="B7" s="4" t="s">
        <v>25</v>
      </c>
      <c r="C7" s="4" t="s">
        <v>26</v>
      </c>
      <c r="D7" s="4" t="s">
        <v>27</v>
      </c>
      <c r="E7" s="7" t="s">
        <v>59</v>
      </c>
      <c r="F7" s="29" t="s">
        <v>72</v>
      </c>
      <c r="G7" s="3" t="s">
        <v>32</v>
      </c>
      <c r="H7" s="12" t="s">
        <v>34</v>
      </c>
      <c r="I7" s="9" t="s">
        <v>115</v>
      </c>
    </row>
    <row r="9" spans="1:9" x14ac:dyDescent="0.25">
      <c r="B9" s="28" t="s">
        <v>103</v>
      </c>
    </row>
    <row r="10" spans="1:9" x14ac:dyDescent="0.25">
      <c r="B10" s="28" t="s">
        <v>104</v>
      </c>
    </row>
    <row r="11" spans="1:9" x14ac:dyDescent="0.25">
      <c r="B11" s="28" t="s">
        <v>105</v>
      </c>
    </row>
    <row r="12" spans="1:9" x14ac:dyDescent="0.25">
      <c r="B12" s="28" t="s">
        <v>106</v>
      </c>
    </row>
    <row r="13" spans="1:9" x14ac:dyDescent="0.25">
      <c r="B13" s="28" t="s">
        <v>111</v>
      </c>
    </row>
    <row r="14" spans="1:9" x14ac:dyDescent="0.25">
      <c r="B14" s="28" t="s">
        <v>113</v>
      </c>
    </row>
  </sheetData>
  <autoFilter ref="H1:H7" xr:uid="{00000000-0009-0000-0000-000000000000}"/>
  <mergeCells count="1">
    <mergeCell ref="A1:H1"/>
  </mergeCells>
  <hyperlinks>
    <hyperlink ref="F5" r:id="rId1" xr:uid="{B83A522D-1AA3-4BA7-A90B-41250432BD26}"/>
    <hyperlink ref="F6" r:id="rId2" xr:uid="{263B5770-1ABE-4D7B-B078-3D58369891F9}"/>
  </hyperlinks>
  <pageMargins left="0.25" right="0.25" top="0.75" bottom="0.75" header="0.3" footer="0.3"/>
  <pageSetup paperSize="9" scale="52" fitToHeight="0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2026-05-14T05:43:45Z</dcterms:modified>
</cp:coreProperties>
</file>